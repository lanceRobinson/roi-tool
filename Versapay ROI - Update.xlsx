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/>
  <xr:revisionPtr revIDLastSave="0" documentId="8_{25D4884E-EDD7-4AFC-A720-7B4561F3B82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Versapay ROI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 l="1"/>
  <c r="D9" i="1" s="1"/>
  <c r="C7" i="1"/>
  <c r="D21" i="1"/>
  <c r="D13" i="1"/>
  <c r="D19" i="1"/>
  <c r="K26" i="1"/>
  <c r="K25" i="1"/>
  <c r="C24" i="1"/>
  <c r="C16" i="1"/>
  <c r="N13" i="1"/>
  <c r="J19" i="1"/>
  <c r="I19" i="1"/>
  <c r="J18" i="1"/>
  <c r="J25" i="1" s="1"/>
  <c r="I18" i="1"/>
  <c r="I25" i="1" s="1"/>
  <c r="H20" i="1"/>
  <c r="J17" i="1"/>
  <c r="I17" i="1"/>
  <c r="I24" i="1" s="1"/>
  <c r="N8" i="1"/>
  <c r="N7" i="1"/>
  <c r="N6" i="1"/>
  <c r="N9" i="1"/>
  <c r="D23" i="1" s="1"/>
  <c r="D7" i="1" l="1"/>
  <c r="J27" i="1"/>
  <c r="J26" i="1"/>
  <c r="I27" i="1"/>
  <c r="I26" i="1"/>
  <c r="I28" i="1" s="1"/>
  <c r="D5" i="1"/>
  <c r="J24" i="1"/>
  <c r="J28" i="1" s="1"/>
  <c r="H27" i="1"/>
  <c r="H26" i="1"/>
  <c r="H25" i="1"/>
  <c r="H24" i="1"/>
  <c r="I20" i="1"/>
  <c r="N14" i="1"/>
  <c r="N15" i="1" s="1"/>
  <c r="D15" i="1"/>
  <c r="C25" i="1"/>
  <c r="C17" i="1"/>
  <c r="J20" i="1"/>
  <c r="D28" i="1" l="1"/>
  <c r="D31" i="1"/>
  <c r="H28" i="1"/>
</calcChain>
</file>

<file path=xl/sharedStrings.xml><?xml version="1.0" encoding="utf-8"?>
<sst xmlns="http://schemas.openxmlformats.org/spreadsheetml/2006/main" count="104" uniqueCount="75">
  <si>
    <t xml:space="preserve">                                       ROI Summary:  Modernize AR with a connected, self service portal</t>
  </si>
  <si>
    <t xml:space="preserve">Impact </t>
  </si>
  <si>
    <t>Annual Savings</t>
  </si>
  <si>
    <t>Estimated Credit Card  Processing Savings</t>
  </si>
  <si>
    <t xml:space="preserve">Key Inputs: </t>
  </si>
  <si>
    <t>Key Calculations</t>
  </si>
  <si>
    <t xml:space="preserve">      We saw some potential savings.  Currently you are not recovering the full fees with surcharging.</t>
  </si>
  <si>
    <t xml:space="preserve"> </t>
  </si>
  <si>
    <t>Annual Invoice Value ($)</t>
  </si>
  <si>
    <t>Average Invoice Value</t>
  </si>
  <si>
    <t>Surcharge</t>
  </si>
  <si>
    <t>Monthly Invoice Volume (#)</t>
  </si>
  <si>
    <t>Average # of Invoices/Payment</t>
  </si>
  <si>
    <t xml:space="preserve">     Recover the cost of acceptance for credit card processing</t>
  </si>
  <si>
    <t>Monthly Payment Volume (#)</t>
  </si>
  <si>
    <t>Average Payment Value</t>
  </si>
  <si>
    <t xml:space="preserve">Labor Savings​ </t>
  </si>
  <si>
    <t>FTE - Cash Application</t>
  </si>
  <si>
    <t>Daily Average Sales</t>
  </si>
  <si>
    <t xml:space="preserve">     Eliminated global team performing the work</t>
  </si>
  <si>
    <t>FTE - Collections</t>
  </si>
  <si>
    <t>Avoid additional hiring expenses</t>
  </si>
  <si>
    <t>1 FTE</t>
  </si>
  <si>
    <t>Average FTE Expense &amp; Benefits</t>
  </si>
  <si>
    <t>Working Capital Impact - What-if Analysis</t>
  </si>
  <si>
    <t xml:space="preserve">     If no change is made, 1 FTEs would need to be hired to fill capacity </t>
  </si>
  <si>
    <t>DSO</t>
  </si>
  <si>
    <t>Reduce DSO By :</t>
  </si>
  <si>
    <t>Decommission other systems</t>
  </si>
  <si>
    <t>Growth Rate</t>
  </si>
  <si>
    <t>Days Reduced By:</t>
  </si>
  <si>
    <t xml:space="preserve">     Sage Intacct Collections</t>
  </si>
  <si>
    <t>Working Capital Unlocked</t>
  </si>
  <si>
    <t>Uplift from re-deploying headcount to higher value tasks (like Strategic Collections)</t>
  </si>
  <si>
    <t>Payment  Methods Today</t>
  </si>
  <si>
    <t>Interest Realized on Working Capital Savings</t>
  </si>
  <si>
    <t xml:space="preserve">        Estimated DSO reduction (shift capacity to collections)</t>
  </si>
  <si>
    <t>Payment Type</t>
  </si>
  <si>
    <t>%</t>
  </si>
  <si>
    <t>#</t>
  </si>
  <si>
    <t>$</t>
  </si>
  <si>
    <t>% Manual Cash Applicaiton</t>
  </si>
  <si>
    <t xml:space="preserve">        Working Capital Unlocked</t>
  </si>
  <si>
    <t>Credit Card</t>
  </si>
  <si>
    <t xml:space="preserve">        Interest Realized on working capital savings</t>
  </si>
  <si>
    <t>7% Interest Saved</t>
  </si>
  <si>
    <t>Check</t>
  </si>
  <si>
    <t>Reduction in Write-Offs - Leverage capacity to go deeper into the collections list</t>
  </si>
  <si>
    <t>Offline ACH</t>
  </si>
  <si>
    <t xml:space="preserve">         Estimated Impact  - Additional team capacity unlocked would allow the team to recovery more</t>
  </si>
  <si>
    <t>Total</t>
  </si>
  <si>
    <t>-</t>
  </si>
  <si>
    <t>Increase revenue/reduce churn from having a trusted, easy to use online portal</t>
  </si>
  <si>
    <t xml:space="preserve">       Ease of use removes friction and can result in an increase in revenue</t>
  </si>
  <si>
    <t>Payment  Methods Future State</t>
  </si>
  <si>
    <t>Versapay Advanced Portal and Collection Features</t>
  </si>
  <si>
    <t xml:space="preserve">        Estimated impact on DSO (Better Adoption, Less Friction)</t>
  </si>
  <si>
    <t>Versapay Credit Card</t>
  </si>
  <si>
    <t>Versapay ACH</t>
  </si>
  <si>
    <r>
      <rPr>
        <b/>
        <sz val="18"/>
        <color rgb="FF000000"/>
        <rFont val="Aptos Narrow"/>
      </rPr>
      <t>Total Annual Savings: </t>
    </r>
    <r>
      <rPr>
        <sz val="18"/>
        <color rgb="FF000000"/>
        <rFont val="Aptos Narrow"/>
      </rPr>
      <t>​</t>
    </r>
  </si>
  <si>
    <t>Annual Software Fee from Versapay + Implementation Fee</t>
  </si>
  <si>
    <t>Assumptions</t>
  </si>
  <si>
    <t xml:space="preserve">Year 1 Return on Investment </t>
  </si>
  <si>
    <t>​</t>
  </si>
  <si>
    <t>Cost of Capital</t>
  </si>
  <si>
    <t>Debt-to-Accounts Receivable Ratio</t>
  </si>
  <si>
    <t>% of Check Payments &gt; online portal payments</t>
  </si>
  <si>
    <t>% of Offline ACH &gt; Online ACH in the portal</t>
  </si>
  <si>
    <t>Online payment - CC &amp; ACH cash applicaiton match rate</t>
  </si>
  <si>
    <t>Offline Payments - Check &amp; ACH match rate (80% - 92% average)</t>
  </si>
  <si>
    <t>% of Customers that will log into the portal (80% average)</t>
  </si>
  <si>
    <t>% of customer who log in that will pay in the portal</t>
  </si>
  <si>
    <t>Expected Collections efficiencies gained (fewer admin tasks)</t>
  </si>
  <si>
    <t>DSO Reduction  - Shift form offline to online (10-25% average)</t>
  </si>
  <si>
    <t>DSO Reduction - Re-deploy HC to Strategic Collections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</si>
</sst>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_(* #,##0_);_(* \(#,##0\);_(* &quot;-&quot;??_);_(@_)"/>
  </numFmts>
  <fonts count="20">
    <font>
      <sz val="11"/>
      <color theme="1"/>
      <name val="Aptos Narrow"/>
      <family val="2"/>
      <scheme val="minor"/>
    </font>
    <font>
      <sz val="14"/>
      <color rgb="FF000000"/>
      <name val="Aptos Narrow"/>
      <family val="2"/>
    </font>
    <font>
      <b/>
      <sz val="14"/>
      <color rgb="FF000000"/>
      <name val="Aptos Narrow"/>
      <family val="2"/>
    </font>
    <font>
      <sz val="14"/>
      <color rgb="FF000000"/>
      <name val="Aptos Narrow"/>
    </font>
    <font>
      <sz val="14"/>
      <color rgb="FF242424"/>
      <name val="Aptos Narrow"/>
    </font>
    <font>
      <sz val="14"/>
      <color theme="1"/>
      <name val="Aptos Narrow"/>
    </font>
    <font>
      <b/>
      <sz val="16"/>
      <color rgb="FF000000"/>
      <name val="Aptos Narrow"/>
      <family val="2"/>
    </font>
    <font>
      <sz val="18"/>
      <color rgb="FF000000"/>
      <name val="Aptos Narrow"/>
      <family val="2"/>
    </font>
    <font>
      <b/>
      <sz val="18"/>
      <color rgb="FF000000"/>
      <name val="Aptos Narrow"/>
    </font>
    <font>
      <sz val="18"/>
      <color rgb="FF000000"/>
      <name val="Aptos Narrow"/>
    </font>
    <font>
      <b/>
      <sz val="18"/>
      <color rgb="FF000000"/>
      <name val="Aptos Narrow"/>
      <family val="2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2"/>
      <color theme="1"/>
      <name val="Calibri"/>
      <scheme val="minor"/>
    </font>
    <font>
      <sz val="12"/>
      <color theme="1"/>
      <name val="Aptos Display"/>
      <family val="2"/>
    </font>
    <font>
      <sz val="14"/>
      <color theme="1"/>
      <name val="Aptos Narrow"/>
      <scheme val="minor"/>
    </font>
    <font>
      <b/>
      <sz val="14"/>
      <color theme="1"/>
      <name val="Aptos Narrow"/>
      <scheme val="minor"/>
    </font>
    <font>
      <b/>
      <sz val="8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24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0" tint="-0.249977111117893"/>
      </left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/>
      <diagonal/>
    </border>
    <border>
      <left style="thin">
        <color theme="2" tint="-9.9978637043366805E-2"/>
      </left>
      <right/>
      <top/>
      <bottom/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2" borderId="0" xfId="0" applyFont="1" applyFill="1" applyAlignment="1">
      <alignment wrapText="1"/>
    </xf>
    <xf numFmtId="0" fontId="0" fillId="2" borderId="0" xfId="0" applyFill="1"/>
    <xf numFmtId="164" fontId="0" fillId="2" borderId="0" xfId="0" applyNumberFormat="1" applyFill="1"/>
    <xf numFmtId="0" fontId="7" fillId="2" borderId="0" xfId="0" applyFont="1" applyFill="1" applyAlignment="1">
      <alignment wrapText="1"/>
    </xf>
    <xf numFmtId="9" fontId="7" fillId="2" borderId="0" xfId="0" applyNumberFormat="1" applyFont="1" applyFill="1" applyAlignment="1">
      <alignment horizontal="center" wrapText="1"/>
    </xf>
    <xf numFmtId="164" fontId="10" fillId="2" borderId="0" xfId="0" applyNumberFormat="1" applyFont="1" applyFill="1" applyAlignment="1">
      <alignment horizontal="center" wrapText="1"/>
    </xf>
    <xf numFmtId="0" fontId="0" fillId="3" borderId="3" xfId="0" applyFill="1" applyBorder="1" applyAlignment="1">
      <alignment horizontal="center"/>
    </xf>
    <xf numFmtId="0" fontId="6" fillId="0" borderId="0" xfId="0" applyFont="1" applyAlignment="1">
      <alignment horizontal="center" wrapText="1"/>
    </xf>
    <xf numFmtId="0" fontId="10" fillId="2" borderId="0" xfId="0" applyFont="1" applyFill="1" applyAlignment="1">
      <alignment wrapText="1"/>
    </xf>
    <xf numFmtId="9" fontId="10" fillId="2" borderId="0" xfId="0" applyNumberFormat="1" applyFont="1" applyFill="1" applyAlignment="1">
      <alignment horizontal="center" wrapText="1"/>
    </xf>
    <xf numFmtId="0" fontId="13" fillId="0" borderId="1" xfId="0" applyFont="1" applyBorder="1"/>
    <xf numFmtId="0" fontId="0" fillId="0" borderId="1" xfId="0" applyBorder="1"/>
    <xf numFmtId="0" fontId="14" fillId="0" borderId="1" xfId="0" applyFont="1" applyBorder="1"/>
    <xf numFmtId="164" fontId="0" fillId="0" borderId="1" xfId="0" applyNumberFormat="1" applyBorder="1"/>
    <xf numFmtId="164" fontId="14" fillId="0" borderId="1" xfId="0" applyNumberFormat="1" applyFont="1" applyBorder="1"/>
    <xf numFmtId="0" fontId="1" fillId="2" borderId="0" xfId="0" applyFont="1" applyFill="1" applyAlignment="1">
      <alignment horizontal="left" wrapText="1"/>
    </xf>
    <xf numFmtId="9" fontId="0" fillId="2" borderId="0" xfId="0" applyNumberFormat="1" applyFill="1"/>
    <xf numFmtId="165" fontId="0" fillId="2" borderId="0" xfId="0" applyNumberFormat="1" applyFill="1"/>
    <xf numFmtId="9" fontId="15" fillId="2" borderId="3" xfId="0" applyNumberFormat="1" applyFont="1" applyFill="1" applyBorder="1" applyAlignment="1">
      <alignment horizontal="center"/>
    </xf>
    <xf numFmtId="164" fontId="12" fillId="2" borderId="3" xfId="0" applyNumberFormat="1" applyFont="1" applyFill="1" applyBorder="1"/>
    <xf numFmtId="9" fontId="12" fillId="2" borderId="3" xfId="0" applyNumberFormat="1" applyFont="1" applyFill="1" applyBorder="1"/>
    <xf numFmtId="164" fontId="12" fillId="2" borderId="0" xfId="0" applyNumberFormat="1" applyFont="1" applyFill="1"/>
    <xf numFmtId="165" fontId="12" fillId="2" borderId="0" xfId="0" applyNumberFormat="1" applyFont="1" applyFill="1"/>
    <xf numFmtId="0" fontId="12" fillId="2" borderId="0" xfId="0" applyFont="1" applyFill="1"/>
    <xf numFmtId="9" fontId="12" fillId="2" borderId="0" xfId="0" applyNumberFormat="1" applyFont="1" applyFill="1"/>
    <xf numFmtId="0" fontId="17" fillId="2" borderId="0" xfId="0" applyFont="1" applyFill="1" applyAlignment="1">
      <alignment horizontal="center" wrapText="1"/>
    </xf>
    <xf numFmtId="9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165" fontId="12" fillId="2" borderId="3" xfId="0" applyNumberFormat="1" applyFont="1" applyFill="1" applyBorder="1"/>
    <xf numFmtId="0" fontId="12" fillId="2" borderId="3" xfId="0" applyFont="1" applyFill="1" applyBorder="1"/>
    <xf numFmtId="0" fontId="15" fillId="3" borderId="3" xfId="0" applyFont="1" applyFill="1" applyBorder="1"/>
    <xf numFmtId="9" fontId="15" fillId="3" borderId="3" xfId="0" applyNumberFormat="1" applyFont="1" applyFill="1" applyBorder="1" applyAlignment="1">
      <alignment horizontal="center"/>
    </xf>
    <xf numFmtId="165" fontId="15" fillId="3" borderId="3" xfId="0" applyNumberFormat="1" applyFont="1" applyFill="1" applyBorder="1" applyAlignment="1">
      <alignment vertical="center"/>
    </xf>
    <xf numFmtId="164" fontId="15" fillId="3" borderId="3" xfId="0" applyNumberFormat="1" applyFont="1" applyFill="1" applyBorder="1"/>
    <xf numFmtId="0" fontId="3" fillId="2" borderId="0" xfId="0" applyFont="1" applyFill="1" applyAlignment="1">
      <alignment wrapText="1"/>
    </xf>
    <xf numFmtId="0" fontId="3" fillId="4" borderId="3" xfId="0" applyFont="1" applyFill="1" applyBorder="1" applyAlignment="1">
      <alignment wrapText="1"/>
    </xf>
    <xf numFmtId="164" fontId="12" fillId="4" borderId="3" xfId="0" applyNumberFormat="1" applyFont="1" applyFill="1" applyBorder="1"/>
    <xf numFmtId="165" fontId="12" fillId="4" borderId="3" xfId="0" applyNumberFormat="1" applyFont="1" applyFill="1" applyBorder="1"/>
    <xf numFmtId="0" fontId="0" fillId="0" borderId="2" xfId="0" applyBorder="1"/>
    <xf numFmtId="164" fontId="0" fillId="0" borderId="2" xfId="0" applyNumberFormat="1" applyBorder="1"/>
    <xf numFmtId="165" fontId="15" fillId="4" borderId="3" xfId="0" applyNumberFormat="1" applyFont="1" applyFill="1" applyBorder="1" applyAlignment="1">
      <alignment vertical="center"/>
    </xf>
    <xf numFmtId="164" fontId="15" fillId="4" borderId="3" xfId="0" applyNumberFormat="1" applyFont="1" applyFill="1" applyBorder="1"/>
    <xf numFmtId="0" fontId="16" fillId="3" borderId="6" xfId="0" applyFont="1" applyFill="1" applyBorder="1" applyAlignment="1">
      <alignment vertical="center"/>
    </xf>
    <xf numFmtId="0" fontId="16" fillId="3" borderId="6" xfId="0" applyFont="1" applyFill="1" applyBorder="1" applyAlignment="1">
      <alignment horizontal="center" vertical="center"/>
    </xf>
    <xf numFmtId="0" fontId="16" fillId="3" borderId="7" xfId="0" applyFont="1" applyFill="1" applyBorder="1" applyAlignment="1">
      <alignment horizontal="center" vertical="center"/>
    </xf>
    <xf numFmtId="0" fontId="18" fillId="3" borderId="5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left" wrapText="1"/>
    </xf>
    <xf numFmtId="0" fontId="3" fillId="4" borderId="10" xfId="0" applyFont="1" applyFill="1" applyBorder="1" applyAlignment="1">
      <alignment horizontal="left" wrapText="1"/>
    </xf>
    <xf numFmtId="0" fontId="3" fillId="4" borderId="9" xfId="0" applyFont="1" applyFill="1" applyBorder="1" applyAlignment="1">
      <alignment horizontal="left" wrapText="1"/>
    </xf>
    <xf numFmtId="0" fontId="15" fillId="4" borderId="3" xfId="0" applyFont="1" applyFill="1" applyBorder="1"/>
    <xf numFmtId="10" fontId="12" fillId="2" borderId="3" xfId="0" applyNumberFormat="1" applyFont="1" applyFill="1" applyBorder="1"/>
    <xf numFmtId="0" fontId="12" fillId="4" borderId="3" xfId="0" applyFont="1" applyFill="1" applyBorder="1"/>
    <xf numFmtId="9" fontId="15" fillId="4" borderId="3" xfId="0" applyNumberFormat="1" applyFont="1" applyFill="1" applyBorder="1" applyAlignment="1">
      <alignment horizontal="center"/>
    </xf>
    <xf numFmtId="165" fontId="15" fillId="2" borderId="0" xfId="0" applyNumberFormat="1" applyFont="1" applyFill="1" applyAlignment="1">
      <alignment vertical="center"/>
    </xf>
    <xf numFmtId="0" fontId="2" fillId="3" borderId="11" xfId="0" applyFont="1" applyFill="1" applyBorder="1" applyAlignment="1">
      <alignment wrapText="1"/>
    </xf>
    <xf numFmtId="3" fontId="2" fillId="3" borderId="11" xfId="0" applyNumberFormat="1" applyFont="1" applyFill="1" applyBorder="1" applyAlignment="1">
      <alignment horizontal="center" wrapText="1"/>
    </xf>
    <xf numFmtId="164" fontId="2" fillId="3" borderId="11" xfId="0" applyNumberFormat="1" applyFont="1" applyFill="1" applyBorder="1" applyAlignment="1">
      <alignment horizontal="center" wrapText="1"/>
    </xf>
    <xf numFmtId="0" fontId="3" fillId="2" borderId="11" xfId="0" applyFont="1" applyFill="1" applyBorder="1" applyAlignment="1">
      <alignment wrapText="1"/>
    </xf>
    <xf numFmtId="0" fontId="0" fillId="2" borderId="11" xfId="0" applyFill="1" applyBorder="1"/>
    <xf numFmtId="9" fontId="4" fillId="2" borderId="11" xfId="0" applyNumberFormat="1" applyFont="1" applyFill="1" applyBorder="1" applyAlignment="1">
      <alignment horizontal="center"/>
    </xf>
    <xf numFmtId="3" fontId="4" fillId="2" borderId="11" xfId="0" applyNumberFormat="1" applyFont="1" applyFill="1" applyBorder="1" applyAlignment="1">
      <alignment horizontal="center"/>
    </xf>
    <xf numFmtId="164" fontId="12" fillId="2" borderId="11" xfId="0" applyNumberFormat="1" applyFont="1" applyFill="1" applyBorder="1" applyAlignment="1">
      <alignment horizontal="center"/>
    </xf>
    <xf numFmtId="3" fontId="1" fillId="3" borderId="11" xfId="0" applyNumberFormat="1" applyFont="1" applyFill="1" applyBorder="1" applyAlignment="1">
      <alignment horizontal="center" wrapText="1"/>
    </xf>
    <xf numFmtId="0" fontId="4" fillId="2" borderId="11" xfId="0" applyFont="1" applyFill="1" applyBorder="1" applyAlignment="1">
      <alignment horizontal="center"/>
    </xf>
    <xf numFmtId="0" fontId="1" fillId="2" borderId="11" xfId="0" applyFont="1" applyFill="1" applyBorder="1" applyAlignment="1">
      <alignment wrapText="1"/>
    </xf>
    <xf numFmtId="164" fontId="1" fillId="2" borderId="11" xfId="0" applyNumberFormat="1" applyFont="1" applyFill="1" applyBorder="1" applyAlignment="1">
      <alignment horizontal="center" wrapText="1"/>
    </xf>
    <xf numFmtId="9" fontId="0" fillId="2" borderId="11" xfId="0" applyNumberFormat="1" applyFill="1" applyBorder="1"/>
    <xf numFmtId="9" fontId="1" fillId="3" borderId="11" xfId="0" applyNumberFormat="1" applyFont="1" applyFill="1" applyBorder="1" applyAlignment="1">
      <alignment horizontal="center" wrapText="1"/>
    </xf>
    <xf numFmtId="164" fontId="5" fillId="2" borderId="11" xfId="0" applyNumberFormat="1" applyFont="1" applyFill="1" applyBorder="1" applyAlignment="1">
      <alignment horizontal="center" wrapText="1"/>
    </xf>
    <xf numFmtId="0" fontId="5" fillId="2" borderId="11" xfId="0" applyFont="1" applyFill="1" applyBorder="1" applyAlignment="1">
      <alignment horizontal="center" wrapText="1"/>
    </xf>
    <xf numFmtId="10" fontId="1" fillId="3" borderId="11" xfId="0" applyNumberFormat="1" applyFont="1" applyFill="1" applyBorder="1" applyAlignment="1">
      <alignment horizontal="center" wrapText="1"/>
    </xf>
    <xf numFmtId="9" fontId="4" fillId="3" borderId="11" xfId="0" applyNumberFormat="1" applyFont="1" applyFill="1" applyBorder="1" applyAlignment="1">
      <alignment horizontal="center"/>
    </xf>
    <xf numFmtId="10" fontId="4" fillId="3" borderId="11" xfId="0" applyNumberFormat="1" applyFont="1" applyFill="1" applyBorder="1" applyAlignment="1">
      <alignment horizontal="center"/>
    </xf>
    <xf numFmtId="0" fontId="3" fillId="4" borderId="8" xfId="0" applyFont="1" applyFill="1" applyBorder="1" applyAlignment="1">
      <alignment horizontal="left" wrapText="1"/>
    </xf>
    <xf numFmtId="0" fontId="3" fillId="4" borderId="10" xfId="0" applyFont="1" applyFill="1" applyBorder="1" applyAlignment="1">
      <alignment horizontal="left" wrapText="1"/>
    </xf>
    <xf numFmtId="0" fontId="3" fillId="4" borderId="9" xfId="0" applyFont="1" applyFill="1" applyBorder="1" applyAlignment="1">
      <alignment horizontal="left" wrapText="1"/>
    </xf>
    <xf numFmtId="0" fontId="11" fillId="3" borderId="8" xfId="0" applyFont="1" applyFill="1" applyBorder="1" applyAlignment="1">
      <alignment horizontal="center"/>
    </xf>
    <xf numFmtId="0" fontId="11" fillId="3" borderId="10" xfId="0" applyFont="1" applyFill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left" wrapText="1"/>
    </xf>
    <xf numFmtId="0" fontId="19" fillId="0" borderId="0" xfId="0" applyFont="1" applyAlignment="1">
      <alignment horizontal="left" wrapText="1"/>
    </xf>
    <xf numFmtId="0" fontId="11" fillId="3" borderId="3" xfId="0" applyFont="1" applyFill="1" applyBorder="1" applyAlignment="1">
      <alignment horizontal="center"/>
    </xf>
    <xf numFmtId="0" fontId="11" fillId="3" borderId="4" xfId="0" applyFont="1" applyFill="1" applyBorder="1" applyAlignment="1">
      <alignment horizontal="center"/>
    </xf>
    <xf numFmtId="0" fontId="1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0</xdr:row>
      <xdr:rowOff>171450</xdr:rowOff>
    </xdr:from>
    <xdr:to>
      <xdr:col>1</xdr:col>
      <xdr:colOff>2095500</xdr:colOff>
      <xdr:row>1</xdr:row>
      <xdr:rowOff>276225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A0431A-AA9D-4B99-9F6F-517109E0C624}"/>
            </a:ext>
            <a:ext uri="{147F2762-F138-4A5C-976F-8EAC2B608ADB}">
              <a16:predDERef xmlns:a16="http://schemas.microsoft.com/office/drawing/2014/main" pred="{A2A4D2C5-5CFA-4BCE-ABA6-B6C025EA78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3425" y="171450"/>
          <a:ext cx="1971675" cy="295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E42"/>
  <sheetViews>
    <sheetView tabSelected="1" workbookViewId="0">
      <selection activeCell="D31" sqref="D31"/>
    </sheetView>
  </sheetViews>
  <sheetFormatPr defaultRowHeight="15"/>
  <cols>
    <col min="1" max="1" width="9.140625" style="2"/>
    <col min="2" max="2" width="109.28515625" style="2" customWidth="1"/>
    <col min="3" max="3" width="34.7109375" style="2" customWidth="1"/>
    <col min="4" max="4" width="37.7109375" style="2" customWidth="1"/>
    <col min="5" max="6" width="9.140625" style="2"/>
    <col min="7" max="7" width="33.140625" style="2" customWidth="1"/>
    <col min="8" max="8" width="10.140625" style="2" customWidth="1"/>
    <col min="9" max="9" width="9.42578125" style="2" customWidth="1"/>
    <col min="10" max="10" width="17.42578125" style="2" customWidth="1"/>
    <col min="11" max="11" width="15.5703125" style="2" customWidth="1"/>
    <col min="12" max="12" width="4.7109375" style="2" customWidth="1"/>
    <col min="13" max="13" width="47.85546875" style="2" customWidth="1"/>
    <col min="14" max="14" width="13.140625" style="2" customWidth="1"/>
    <col min="15" max="24" width="9.140625" style="2"/>
    <col min="25" max="32" width="14.28515625" style="2" customWidth="1"/>
    <col min="33" max="16384" width="9.140625" style="2"/>
  </cols>
  <sheetData>
    <row r="2" spans="2:31" ht="24" customHeight="1">
      <c r="B2" s="81" t="s">
        <v>0</v>
      </c>
      <c r="C2" s="81"/>
      <c r="D2" s="81"/>
    </row>
    <row r="4" spans="2:31" ht="20.25">
      <c r="B4" s="1"/>
      <c r="C4" s="8" t="s">
        <v>1</v>
      </c>
      <c r="D4" s="8" t="s">
        <v>2</v>
      </c>
      <c r="Y4" s="11"/>
      <c r="Z4" s="12"/>
      <c r="AA4" s="12"/>
      <c r="AB4" s="12"/>
      <c r="AC4" s="12"/>
      <c r="AD4" s="12"/>
    </row>
    <row r="5" spans="2:31" ht="20.25" customHeight="1">
      <c r="B5" s="55" t="s">
        <v>3</v>
      </c>
      <c r="C5" s="73">
        <v>5.0000000000000001E-3</v>
      </c>
      <c r="D5" s="57">
        <f>C5*J17</f>
        <v>1800</v>
      </c>
      <c r="G5" s="83" t="s">
        <v>4</v>
      </c>
      <c r="H5" s="84"/>
      <c r="I5" s="84"/>
      <c r="J5" s="84"/>
      <c r="K5" s="84"/>
      <c r="M5" s="82" t="s">
        <v>5</v>
      </c>
      <c r="N5" s="82"/>
      <c r="Y5" s="12"/>
      <c r="Z5"/>
      <c r="AA5" s="12"/>
      <c r="AB5" s="13"/>
      <c r="AC5" s="12"/>
    </row>
    <row r="6" spans="2:31" ht="20.25" customHeight="1">
      <c r="B6" s="58" t="s">
        <v>6</v>
      </c>
      <c r="D6" s="59" t="s">
        <v>7</v>
      </c>
      <c r="G6" s="80" t="s">
        <v>8</v>
      </c>
      <c r="H6" s="80"/>
      <c r="I6" s="80"/>
      <c r="J6" s="80"/>
      <c r="K6" s="20">
        <v>36000000</v>
      </c>
      <c r="L6" s="22"/>
      <c r="M6" s="36" t="s">
        <v>9</v>
      </c>
      <c r="N6" s="37">
        <f>(K6/12)/K7</f>
        <v>3333.3333333333335</v>
      </c>
      <c r="Y6" s="14"/>
      <c r="Z6" s="14"/>
      <c r="AA6" s="14"/>
      <c r="AB6" s="15"/>
      <c r="AC6" s="14"/>
      <c r="AD6" s="3"/>
      <c r="AE6" s="3"/>
    </row>
    <row r="7" spans="2:31" ht="20.25" customHeight="1">
      <c r="B7" s="55" t="s">
        <v>10</v>
      </c>
      <c r="C7" s="72">
        <f>K33</f>
        <v>0.03</v>
      </c>
      <c r="D7" s="57">
        <f>C7*J17</f>
        <v>10800</v>
      </c>
      <c r="G7" s="80" t="s">
        <v>11</v>
      </c>
      <c r="H7" s="80"/>
      <c r="I7" s="80"/>
      <c r="J7" s="80"/>
      <c r="K7" s="29">
        <v>900</v>
      </c>
      <c r="L7" s="23"/>
      <c r="M7" s="36" t="s">
        <v>12</v>
      </c>
      <c r="N7" s="38">
        <f>K7/K8</f>
        <v>3</v>
      </c>
    </row>
    <row r="8" spans="2:31" ht="20.25" customHeight="1">
      <c r="B8" s="58" t="s">
        <v>13</v>
      </c>
      <c r="D8" s="59" t="s">
        <v>7</v>
      </c>
      <c r="G8" s="80" t="s">
        <v>14</v>
      </c>
      <c r="H8" s="80"/>
      <c r="I8" s="80"/>
      <c r="J8" s="80"/>
      <c r="K8" s="29">
        <v>300</v>
      </c>
      <c r="L8" s="23"/>
      <c r="M8" s="36" t="s">
        <v>15</v>
      </c>
      <c r="N8" s="37">
        <f>(K6/12)/K8</f>
        <v>10000</v>
      </c>
    </row>
    <row r="9" spans="2:31" ht="20.25" customHeight="1">
      <c r="B9" s="55" t="s">
        <v>16</v>
      </c>
      <c r="C9" s="56">
        <f>(K10*2080*K40)+(K9*2080*K37)</f>
        <v>6656</v>
      </c>
      <c r="D9" s="57">
        <f>(K11/2080)*C9</f>
        <v>240000</v>
      </c>
      <c r="G9" s="80" t="s">
        <v>17</v>
      </c>
      <c r="H9" s="80"/>
      <c r="I9" s="80"/>
      <c r="J9" s="80"/>
      <c r="K9" s="30">
        <v>3</v>
      </c>
      <c r="L9" s="24"/>
      <c r="M9" s="36" t="s">
        <v>18</v>
      </c>
      <c r="N9" s="37">
        <f>K6/365</f>
        <v>98630.136986301368</v>
      </c>
    </row>
    <row r="10" spans="2:31" ht="20.25" customHeight="1">
      <c r="B10" s="58" t="s">
        <v>19</v>
      </c>
      <c r="C10" s="61" t="s">
        <v>7</v>
      </c>
      <c r="D10" s="62" t="s">
        <v>7</v>
      </c>
      <c r="G10" s="80" t="s">
        <v>20</v>
      </c>
      <c r="H10" s="80"/>
      <c r="I10" s="80"/>
      <c r="J10" s="80"/>
      <c r="K10" s="30">
        <v>1</v>
      </c>
      <c r="L10" s="24"/>
      <c r="M10" s="35" t="s">
        <v>7</v>
      </c>
      <c r="N10" s="24" t="s">
        <v>7</v>
      </c>
    </row>
    <row r="11" spans="2:31" ht="20.25" customHeight="1">
      <c r="B11" s="55" t="s">
        <v>21</v>
      </c>
      <c r="C11" s="63" t="s">
        <v>22</v>
      </c>
      <c r="D11" s="57">
        <v>50000</v>
      </c>
      <c r="G11" s="80" t="s">
        <v>23</v>
      </c>
      <c r="H11" s="80"/>
      <c r="I11" s="80"/>
      <c r="J11" s="80"/>
      <c r="K11" s="20">
        <v>75000</v>
      </c>
      <c r="M11" s="82" t="s">
        <v>24</v>
      </c>
      <c r="N11" s="82" t="s">
        <v>7</v>
      </c>
    </row>
    <row r="12" spans="2:31" ht="20.25" customHeight="1">
      <c r="B12" s="58" t="s">
        <v>25</v>
      </c>
      <c r="C12" s="64" t="s">
        <v>7</v>
      </c>
      <c r="D12" s="59" t="s">
        <v>7</v>
      </c>
      <c r="G12" s="80" t="s">
        <v>26</v>
      </c>
      <c r="H12" s="80"/>
      <c r="I12" s="80"/>
      <c r="J12" s="80"/>
      <c r="K12" s="30">
        <v>58</v>
      </c>
      <c r="L12" s="24"/>
      <c r="M12" s="52" t="s">
        <v>27</v>
      </c>
      <c r="N12" s="21">
        <v>0.2</v>
      </c>
    </row>
    <row r="13" spans="2:31" ht="20.25" customHeight="1">
      <c r="B13" s="55" t="s">
        <v>28</v>
      </c>
      <c r="C13" s="63"/>
      <c r="D13" s="57">
        <f>SUM(D14:D14)</f>
        <v>4725</v>
      </c>
      <c r="G13" s="47" t="s">
        <v>29</v>
      </c>
      <c r="H13" s="48"/>
      <c r="I13" s="48"/>
      <c r="J13" s="49"/>
      <c r="K13" s="21">
        <v>0.2</v>
      </c>
      <c r="L13" s="25"/>
      <c r="M13" s="52" t="s">
        <v>30</v>
      </c>
      <c r="N13" s="52">
        <f>N12*K12</f>
        <v>11.600000000000001</v>
      </c>
    </row>
    <row r="14" spans="2:31" ht="20.25" customHeight="1">
      <c r="B14" s="65" t="s">
        <v>31</v>
      </c>
      <c r="C14" s="67" t="s">
        <v>7</v>
      </c>
      <c r="D14" s="66">
        <v>4725</v>
      </c>
      <c r="M14" s="52" t="s">
        <v>32</v>
      </c>
      <c r="N14" s="37">
        <f>N13*N9</f>
        <v>1144109.5890410959</v>
      </c>
    </row>
    <row r="15" spans="2:31" ht="18.75">
      <c r="B15" s="55" t="s">
        <v>33</v>
      </c>
      <c r="C15" s="68" t="s">
        <v>7</v>
      </c>
      <c r="D15" s="57">
        <f>K12*K42*N9*K31</f>
        <v>20021.917808219179</v>
      </c>
      <c r="G15" s="77" t="s">
        <v>34</v>
      </c>
      <c r="H15" s="78"/>
      <c r="I15" s="78"/>
      <c r="J15" s="78"/>
      <c r="K15" s="79"/>
      <c r="M15" s="52" t="s">
        <v>35</v>
      </c>
      <c r="N15" s="37">
        <f>N14*K31</f>
        <v>80087.671232876717</v>
      </c>
    </row>
    <row r="16" spans="2:31" ht="26.25" customHeight="1">
      <c r="B16" s="58" t="s">
        <v>36</v>
      </c>
      <c r="C16" s="60">
        <f>K42</f>
        <v>0.05</v>
      </c>
      <c r="D16" s="59"/>
      <c r="G16" s="43" t="s">
        <v>37</v>
      </c>
      <c r="H16" s="44" t="s">
        <v>38</v>
      </c>
      <c r="I16" s="44" t="s">
        <v>39</v>
      </c>
      <c r="J16" s="45" t="s">
        <v>40</v>
      </c>
      <c r="K16" s="46" t="s">
        <v>41</v>
      </c>
      <c r="L16" s="26"/>
      <c r="M16" s="39" t="s">
        <v>7</v>
      </c>
      <c r="N16" s="40" t="s">
        <v>7</v>
      </c>
    </row>
    <row r="17" spans="2:14" ht="18.75">
      <c r="B17" s="58" t="s">
        <v>42</v>
      </c>
      <c r="C17" s="69">
        <f>K42*K12*N9</f>
        <v>286027.39726027398</v>
      </c>
      <c r="D17" s="59"/>
      <c r="G17" s="50" t="s">
        <v>43</v>
      </c>
      <c r="H17" s="19">
        <v>0.01</v>
      </c>
      <c r="I17" s="41">
        <f>H17*K8*12</f>
        <v>36</v>
      </c>
      <c r="J17" s="37">
        <f>H17*K6</f>
        <v>360000</v>
      </c>
      <c r="K17" s="19">
        <v>1</v>
      </c>
      <c r="L17" s="27"/>
    </row>
    <row r="18" spans="2:14" ht="18.75">
      <c r="B18" s="58" t="s">
        <v>44</v>
      </c>
      <c r="C18" s="70" t="s">
        <v>45</v>
      </c>
      <c r="D18" s="59"/>
      <c r="G18" s="50" t="s">
        <v>46</v>
      </c>
      <c r="H18" s="19">
        <v>0.47</v>
      </c>
      <c r="I18" s="41">
        <f>H18*K8*12</f>
        <v>1692</v>
      </c>
      <c r="J18" s="42">
        <f>H18*K6</f>
        <v>16920000</v>
      </c>
      <c r="K18" s="19">
        <v>1</v>
      </c>
      <c r="L18" s="27"/>
    </row>
    <row r="19" spans="2:14" ht="18.75">
      <c r="B19" s="55" t="s">
        <v>47</v>
      </c>
      <c r="C19" s="68"/>
      <c r="D19" s="57">
        <f>K32*K6*C20</f>
        <v>39600</v>
      </c>
      <c r="G19" s="50" t="s">
        <v>48</v>
      </c>
      <c r="H19" s="19">
        <v>0.52</v>
      </c>
      <c r="I19" s="41">
        <f>H19*K8*12</f>
        <v>1872</v>
      </c>
      <c r="J19" s="42">
        <f>H19*K6</f>
        <v>18720000</v>
      </c>
      <c r="K19" s="19">
        <v>1</v>
      </c>
      <c r="L19" s="27"/>
    </row>
    <row r="20" spans="2:14" ht="18.75">
      <c r="B20" s="65" t="s">
        <v>49</v>
      </c>
      <c r="C20" s="60">
        <v>0.1</v>
      </c>
      <c r="D20" s="59" t="s">
        <v>7</v>
      </c>
      <c r="G20" s="31" t="s">
        <v>50</v>
      </c>
      <c r="H20" s="32">
        <f>H17+H18+H19</f>
        <v>1</v>
      </c>
      <c r="I20" s="33">
        <f>SUM(I17:I19)</f>
        <v>3600</v>
      </c>
      <c r="J20" s="34">
        <f>SUM(J17:J19)</f>
        <v>36000000</v>
      </c>
      <c r="K20" s="7" t="s">
        <v>51</v>
      </c>
      <c r="L20" s="28"/>
    </row>
    <row r="21" spans="2:14" ht="18.75">
      <c r="B21" s="55" t="s">
        <v>52</v>
      </c>
      <c r="C21" s="71">
        <v>5.0000000000000001E-3</v>
      </c>
      <c r="D21" s="57">
        <f>C21*K6</f>
        <v>180000</v>
      </c>
    </row>
    <row r="22" spans="2:14" ht="18.75">
      <c r="B22" s="58" t="s">
        <v>53</v>
      </c>
      <c r="C22" s="64"/>
      <c r="D22" s="59"/>
      <c r="G22" s="77" t="s">
        <v>54</v>
      </c>
      <c r="H22" s="78"/>
      <c r="I22" s="78"/>
      <c r="J22" s="78"/>
      <c r="K22" s="79"/>
    </row>
    <row r="23" spans="2:14" ht="27" customHeight="1">
      <c r="B23" s="55" t="s">
        <v>55</v>
      </c>
      <c r="C23" s="68" t="s">
        <v>7</v>
      </c>
      <c r="D23" s="57">
        <f>K12*K41*N9*K31</f>
        <v>80087.671232876717</v>
      </c>
      <c r="G23" s="43" t="s">
        <v>37</v>
      </c>
      <c r="H23" s="44" t="s">
        <v>38</v>
      </c>
      <c r="I23" s="44" t="s">
        <v>39</v>
      </c>
      <c r="J23" s="45" t="s">
        <v>40</v>
      </c>
      <c r="K23" s="46" t="s">
        <v>41</v>
      </c>
    </row>
    <row r="24" spans="2:14" ht="18.75" customHeight="1">
      <c r="B24" s="58" t="s">
        <v>56</v>
      </c>
      <c r="C24" s="60">
        <f>K41</f>
        <v>0.2</v>
      </c>
      <c r="D24" s="59"/>
      <c r="G24" s="50" t="s">
        <v>57</v>
      </c>
      <c r="H24" s="53">
        <f>I24/I28</f>
        <v>0.10400000000000001</v>
      </c>
      <c r="I24" s="41">
        <f>(I17+((I18-I25)/2))</f>
        <v>374.40000000000003</v>
      </c>
      <c r="J24" s="41">
        <f>(J17+((J18-J25)/2))</f>
        <v>3744000</v>
      </c>
      <c r="K24" s="53">
        <v>0</v>
      </c>
      <c r="N24" s="54"/>
    </row>
    <row r="25" spans="2:14" ht="18.75" customHeight="1">
      <c r="B25" s="58" t="s">
        <v>42</v>
      </c>
      <c r="C25" s="69">
        <f>K12*K41*N9</f>
        <v>1144109.5890410959</v>
      </c>
      <c r="D25" s="59"/>
      <c r="G25" s="50" t="s">
        <v>46</v>
      </c>
      <c r="H25" s="53">
        <f>I25/I28</f>
        <v>0.28199999999999997</v>
      </c>
      <c r="I25" s="41">
        <f>(I18)*(1-K34)</f>
        <v>1015.1999999999999</v>
      </c>
      <c r="J25" s="41">
        <f>(J18)*(1-K34)</f>
        <v>10152000</v>
      </c>
      <c r="K25" s="53">
        <f>1-K37</f>
        <v>9.9999999999999978E-2</v>
      </c>
      <c r="N25" s="54"/>
    </row>
    <row r="26" spans="2:14" ht="20.25" customHeight="1">
      <c r="B26" s="58" t="s">
        <v>44</v>
      </c>
      <c r="C26" s="70" t="s">
        <v>45</v>
      </c>
      <c r="D26" s="59"/>
      <c r="G26" s="50" t="s">
        <v>48</v>
      </c>
      <c r="H26" s="53">
        <f>I26/I28</f>
        <v>0.312</v>
      </c>
      <c r="I26" s="41">
        <f>(I19*(1-K35))</f>
        <v>1123.2</v>
      </c>
      <c r="J26" s="41">
        <f>(J19*(1-K35))</f>
        <v>11232000</v>
      </c>
      <c r="K26" s="53">
        <f>1-K37</f>
        <v>9.9999999999999978E-2</v>
      </c>
      <c r="N26" s="54"/>
    </row>
    <row r="27" spans="2:14" ht="18.75" customHeight="1">
      <c r="C27" s="28"/>
      <c r="G27" s="50" t="s">
        <v>58</v>
      </c>
      <c r="H27" s="53">
        <f>I27/I28</f>
        <v>0.30199999999999999</v>
      </c>
      <c r="I27" s="41">
        <f>((I19*K35)+((I18-I25)/2))</f>
        <v>1087.2</v>
      </c>
      <c r="J27" s="41">
        <f>((J19*K35)+((J18-J25)/2))</f>
        <v>10872000</v>
      </c>
      <c r="K27" s="53">
        <v>0</v>
      </c>
      <c r="L27" s="17"/>
      <c r="M27" s="17"/>
      <c r="N27" s="54"/>
    </row>
    <row r="28" spans="2:14" ht="18.75" customHeight="1">
      <c r="B28" s="4" t="s">
        <v>59</v>
      </c>
      <c r="C28" s="5" t="s">
        <v>7</v>
      </c>
      <c r="D28" s="6">
        <f>SUM(D5:D27)</f>
        <v>631759.58904109593</v>
      </c>
      <c r="G28" s="31" t="s">
        <v>50</v>
      </c>
      <c r="H28" s="32">
        <f>H24+H25+H26+H27</f>
        <v>1</v>
      </c>
      <c r="I28" s="33">
        <f>SUM(I24:I27)</f>
        <v>3600</v>
      </c>
      <c r="J28" s="34">
        <f>SUM(J24:J27)</f>
        <v>36000000</v>
      </c>
      <c r="K28" s="7" t="s">
        <v>51</v>
      </c>
      <c r="L28" s="18"/>
      <c r="M28" s="18"/>
      <c r="N28" s="54"/>
    </row>
    <row r="29" spans="2:14" ht="18.75" customHeight="1">
      <c r="L29" s="3"/>
      <c r="M29" s="3"/>
      <c r="N29" s="3"/>
    </row>
    <row r="30" spans="2:14" ht="18.75" customHeight="1">
      <c r="B30" s="9" t="s">
        <v>60</v>
      </c>
      <c r="C30" s="5"/>
      <c r="D30" s="6">
        <v>150000</v>
      </c>
      <c r="G30" s="77" t="s">
        <v>61</v>
      </c>
      <c r="H30" s="78"/>
      <c r="I30" s="78"/>
      <c r="J30" s="78"/>
      <c r="K30" s="79"/>
    </row>
    <row r="31" spans="2:14" ht="18.75" customHeight="1">
      <c r="B31" s="9" t="s">
        <v>62</v>
      </c>
      <c r="C31" s="5" t="s">
        <v>63</v>
      </c>
      <c r="D31" s="10">
        <f>D28/D30</f>
        <v>4.2117305936073057</v>
      </c>
      <c r="G31" s="74" t="s">
        <v>64</v>
      </c>
      <c r="H31" s="75"/>
      <c r="I31" s="75"/>
      <c r="J31" s="76"/>
      <c r="K31" s="21">
        <v>7.0000000000000007E-2</v>
      </c>
    </row>
    <row r="32" spans="2:14" ht="18.75" customHeight="1">
      <c r="G32" s="74" t="s">
        <v>65</v>
      </c>
      <c r="H32" s="75"/>
      <c r="I32" s="75"/>
      <c r="J32" s="76"/>
      <c r="K32" s="51">
        <v>1.0999999999999999E-2</v>
      </c>
    </row>
    <row r="33" spans="2:16" ht="22.5" customHeight="1">
      <c r="G33" s="74" t="s">
        <v>10</v>
      </c>
      <c r="H33" s="75"/>
      <c r="I33" s="75"/>
      <c r="J33" s="76"/>
      <c r="K33" s="21">
        <v>0.03</v>
      </c>
    </row>
    <row r="34" spans="2:16" ht="24" customHeight="1">
      <c r="G34" s="74" t="s">
        <v>66</v>
      </c>
      <c r="H34" s="75"/>
      <c r="I34" s="75"/>
      <c r="J34" s="76"/>
      <c r="K34" s="21">
        <v>0.4</v>
      </c>
    </row>
    <row r="35" spans="2:16" ht="18.75">
      <c r="G35" s="74" t="s">
        <v>67</v>
      </c>
      <c r="H35" s="75"/>
      <c r="I35" s="75"/>
      <c r="J35" s="76"/>
      <c r="K35" s="21">
        <v>0.4</v>
      </c>
    </row>
    <row r="36" spans="2:16" ht="18.75">
      <c r="G36" s="74" t="s">
        <v>68</v>
      </c>
      <c r="H36" s="75"/>
      <c r="I36" s="75"/>
      <c r="J36" s="76"/>
      <c r="K36" s="21">
        <v>1</v>
      </c>
    </row>
    <row r="37" spans="2:16" ht="18.75">
      <c r="E37" s="16"/>
      <c r="F37" s="16"/>
      <c r="G37" s="74" t="s">
        <v>69</v>
      </c>
      <c r="H37" s="75"/>
      <c r="I37" s="75"/>
      <c r="J37" s="76"/>
      <c r="K37" s="21">
        <v>0.9</v>
      </c>
      <c r="L37" s="16"/>
      <c r="M37" s="16"/>
      <c r="N37" s="16"/>
      <c r="O37" s="16"/>
      <c r="P37" s="16"/>
    </row>
    <row r="38" spans="2:16" ht="21.75" customHeight="1">
      <c r="E38" s="16"/>
      <c r="F38" s="16"/>
      <c r="G38" s="74" t="s">
        <v>70</v>
      </c>
      <c r="H38" s="75"/>
      <c r="I38" s="75"/>
      <c r="J38" s="76"/>
      <c r="K38" s="21">
        <v>0.8</v>
      </c>
      <c r="L38" s="16"/>
      <c r="M38" s="16"/>
      <c r="N38" s="16"/>
      <c r="O38" s="16"/>
      <c r="P38" s="16"/>
    </row>
    <row r="39" spans="2:16" ht="21.75" customHeight="1">
      <c r="G39" s="74" t="s">
        <v>71</v>
      </c>
      <c r="H39" s="75"/>
      <c r="I39" s="75"/>
      <c r="J39" s="76"/>
      <c r="K39" s="21">
        <v>0.5</v>
      </c>
    </row>
    <row r="40" spans="2:16" ht="21.75" customHeight="1">
      <c r="G40" s="74" t="s">
        <v>72</v>
      </c>
      <c r="H40" s="75"/>
      <c r="I40" s="75"/>
      <c r="J40" s="76"/>
      <c r="K40" s="21">
        <v>0.5</v>
      </c>
    </row>
    <row r="41" spans="2:16" ht="21.75" customHeight="1">
      <c r="B41" s="2" t="s">
        <v>7</v>
      </c>
      <c r="G41" s="74" t="s">
        <v>73</v>
      </c>
      <c r="H41" s="75"/>
      <c r="I41" s="75"/>
      <c r="J41" s="76"/>
      <c r="K41" s="21">
        <v>0.2</v>
      </c>
    </row>
    <row r="42" spans="2:16" ht="21.75" customHeight="1">
      <c r="G42" s="47" t="s">
        <v>74</v>
      </c>
      <c r="H42" s="48"/>
      <c r="I42" s="48"/>
      <c r="J42" s="49"/>
      <c r="K42" s="21">
        <v>0.05</v>
      </c>
    </row>
  </sheetData>
  <mergeCells count="25">
    <mergeCell ref="G12:J12"/>
    <mergeCell ref="B2:D2"/>
    <mergeCell ref="M5:N5"/>
    <mergeCell ref="G5:K5"/>
    <mergeCell ref="G38:J38"/>
    <mergeCell ref="G6:J6"/>
    <mergeCell ref="G7:J7"/>
    <mergeCell ref="G8:J8"/>
    <mergeCell ref="G9:J9"/>
    <mergeCell ref="G10:J10"/>
    <mergeCell ref="G11:J11"/>
    <mergeCell ref="M11:N11"/>
    <mergeCell ref="G30:K30"/>
    <mergeCell ref="G15:K15"/>
    <mergeCell ref="G36:J36"/>
    <mergeCell ref="G37:J37"/>
    <mergeCell ref="G32:J32"/>
    <mergeCell ref="G39:J39"/>
    <mergeCell ref="G40:J40"/>
    <mergeCell ref="G41:J41"/>
    <mergeCell ref="G22:K22"/>
    <mergeCell ref="G31:J31"/>
    <mergeCell ref="G33:J33"/>
    <mergeCell ref="G34:J34"/>
    <mergeCell ref="G35:J3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2026-06-16T20:17:26Z</dcterms:created>
  <dcterms:modified xsi:type="dcterms:W3CDTF">2026-10-01T14:05:55Z</dcterms:modified>
  <cp:category/>
  <cp:contentStatus/>
</cp:coreProperties>
</file>